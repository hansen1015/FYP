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zhi rong\Downloads\"/>
    </mc:Choice>
  </mc:AlternateContent>
  <xr:revisionPtr revIDLastSave="0" documentId="13_ncr:1_{7C06C676-FEA2-49CF-BBB2-2AEB8578782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sistance Log" sheetId="1" r:id="rId1"/>
    <sheet name="Final sample" sheetId="4" r:id="rId2"/>
    <sheet name="Design B" sheetId="2" r:id="rId3"/>
    <sheet name="Sheet1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/>
  <c r="H2" i="2"/>
  <c r="H3" i="2"/>
  <c r="H4" i="2"/>
  <c r="H5" i="2"/>
  <c r="H6" i="2"/>
  <c r="H7" i="2"/>
  <c r="G3" i="2"/>
  <c r="G6" i="2"/>
  <c r="G4" i="2"/>
  <c r="G5" i="2"/>
  <c r="G7" i="2"/>
  <c r="I2" i="1"/>
  <c r="I3" i="1"/>
  <c r="I4" i="1"/>
</calcChain>
</file>

<file path=xl/sharedStrings.xml><?xml version="1.0" encoding="utf-8"?>
<sst xmlns="http://schemas.openxmlformats.org/spreadsheetml/2006/main" count="80" uniqueCount="55">
  <si>
    <t>Design ID</t>
  </si>
  <si>
    <t>Trial 1 (Ω)</t>
  </si>
  <si>
    <t>Trial 2 (Ω)</t>
  </si>
  <si>
    <t>Trial 3 (Ω)</t>
  </si>
  <si>
    <t>Trial 4 (Ω)</t>
  </si>
  <si>
    <t>Trial 5 (Ω)</t>
  </si>
  <si>
    <t>Mean (Ω)</t>
  </si>
  <si>
    <t>Notes</t>
  </si>
  <si>
    <t>Design B (left&amp;right)</t>
  </si>
  <si>
    <t>Design A (top&amp;btm)</t>
  </si>
  <si>
    <t>Design C</t>
  </si>
  <si>
    <t>Trial 6 (Ω)</t>
  </si>
  <si>
    <t>Trial 7 (Ω)</t>
  </si>
  <si>
    <t>5mm width</t>
  </si>
  <si>
    <t>8mm width</t>
  </si>
  <si>
    <t>45/135 degree</t>
  </si>
  <si>
    <t xml:space="preserve">Design </t>
  </si>
  <si>
    <t>0/90 degree</t>
  </si>
  <si>
    <t>135/135 degree</t>
  </si>
  <si>
    <t>90/90 degree</t>
  </si>
  <si>
    <t>45/45 degree</t>
  </si>
  <si>
    <t>0/0 degree</t>
  </si>
  <si>
    <t>SD</t>
  </si>
  <si>
    <t>Parameters</t>
  </si>
  <si>
    <t xml:space="preserve">Nozzle Diameter </t>
  </si>
  <si>
    <t xml:space="preserve">Layer Height </t>
  </si>
  <si>
    <t>Printing Bed Temperature</t>
  </si>
  <si>
    <t xml:space="preserve">Cooling Fan speed </t>
  </si>
  <si>
    <t xml:space="preserve">Printing Speed </t>
  </si>
  <si>
    <t xml:space="preserve">Infill Density </t>
  </si>
  <si>
    <t>0.4 mm</t>
  </si>
  <si>
    <t>0.2 mm</t>
  </si>
  <si>
    <t>50 mm/s</t>
  </si>
  <si>
    <t>65 °C</t>
  </si>
  <si>
    <t>Settings</t>
  </si>
  <si>
    <t xml:space="preserve">Sample </t>
  </si>
  <si>
    <t>Node 1 (Ω)</t>
  </si>
  <si>
    <t>Node 2 (Ω)</t>
  </si>
  <si>
    <t>Node 3 (Ω)</t>
  </si>
  <si>
    <t>Node 4 (Ω)</t>
  </si>
  <si>
    <t>Node 5 (Ω)</t>
  </si>
  <si>
    <t>Initial Layer</t>
  </si>
  <si>
    <t>Initial Layer Infill</t>
  </si>
  <si>
    <t>Inner Wall</t>
  </si>
  <si>
    <t>Outer Wall</t>
  </si>
  <si>
    <t>Parameters (Unchanged)</t>
  </si>
  <si>
    <t>25 mm/s</t>
  </si>
  <si>
    <t>105 mm/s</t>
  </si>
  <si>
    <t>200 mm/s</t>
  </si>
  <si>
    <t>300 mm/s</t>
  </si>
  <si>
    <t>250 mm/s</t>
  </si>
  <si>
    <t>Internal Solid Infill</t>
  </si>
  <si>
    <t>Parameters (Changed)</t>
  </si>
  <si>
    <t>New</t>
  </si>
  <si>
    <t>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</si>
</sst>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DDDDDD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/>
    <xf numFmtId="0" fontId="1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" xfId="0" applyBorder="1"/>
    <xf numFmtId="0" fontId="0" fillId="5" borderId="2" xfId="0" applyFill="1" applyBorder="1"/>
    <xf numFmtId="0" fontId="0" fillId="0" borderId="2" xfId="0" applyBorder="1" applyAlignment="1">
      <alignment horizontal="left"/>
    </xf>
    <xf numFmtId="9" fontId="0" fillId="0" borderId="2" xfId="0" applyNumberFormat="1" applyBorder="1" applyAlignment="1">
      <alignment horizontal="left"/>
    </xf>
    <xf numFmtId="0" fontId="0" fillId="0" borderId="2" xfId="0" applyBorder="1" applyAlignment="1">
      <alignment horizontal="center"/>
    </xf>
    <xf numFmtId="0" fontId="0" fillId="6" borderId="2" xfId="0" applyFill="1" applyBorder="1"/>
    <xf numFmtId="0" fontId="0" fillId="7" borderId="2" xfId="0" applyFill="1" applyBorder="1"/>
    <xf numFmtId="0" fontId="0" fillId="8" borderId="2" xfId="0" applyFill="1" applyBorder="1"/>
    <xf numFmtId="0" fontId="0" fillId="9" borderId="2" xfId="0" applyFill="1" applyBorder="1"/>
    <xf numFmtId="0" fontId="0" fillId="10" borderId="2" xfId="0" applyFill="1" applyBorder="1"/>
    <xf numFmtId="9" fontId="0" fillId="0" borderId="0" xfId="0" applyNumberFormat="1" applyAlignment="1">
      <alignment horizontal="left"/>
    </xf>
    <xf numFmtId="0" fontId="0" fillId="11" borderId="2" xfId="0" applyFill="1" applyBorder="1"/>
    <xf numFmtId="0" fontId="0" fillId="12" borderId="2" xfId="0" applyFill="1" applyBorder="1"/>
  </cellXfs>
  <cellStyles count="1">
    <cellStyle name="Normal" xfId="0" builtinId="0"/>
  </cellStyles>
  <dxfs count="11"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rgb="FFDDDDDD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/>
              <a:t>Sample node resistance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'Final sample'!$D$3</c:f>
              <c:strCache>
                <c:ptCount val="1"/>
                <c:pt idx="0">
                  <c:v>Node 1 (Ω)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'Final sample'!$D$4:$D$6</c:f>
              <c:numCache>
                <c:formatCode>General</c:formatCode>
                <c:ptCount val="3"/>
                <c:pt idx="0">
                  <c:v>480</c:v>
                </c:pt>
                <c:pt idx="1">
                  <c:v>490</c:v>
                </c:pt>
                <c:pt idx="2">
                  <c:v>290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88-4F50-A6D4-E294C018873D}"/>
            </c:ext>
          </c:extLst>
        </c:ser>
        <c:ser>
          <c:idx val="2"/>
          <c:order val="2"/>
          <c:tx>
            <c:strRef>
              <c:f>'Final sample'!$E$3</c:f>
              <c:strCache>
                <c:ptCount val="1"/>
                <c:pt idx="0">
                  <c:v>Node 2 (Ω)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'Final sample'!$E$4:$E$6</c:f>
              <c:numCache>
                <c:formatCode>General</c:formatCode>
                <c:ptCount val="3"/>
                <c:pt idx="0">
                  <c:v>390</c:v>
                </c:pt>
                <c:pt idx="1">
                  <c:v>320</c:v>
                </c:pt>
                <c:pt idx="2">
                  <c:v>330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988-4F50-A6D4-E294C018873D}"/>
            </c:ext>
          </c:extLst>
        </c:ser>
        <c:ser>
          <c:idx val="3"/>
          <c:order val="3"/>
          <c:tx>
            <c:strRef>
              <c:f>'Final sample'!$F$3</c:f>
              <c:strCache>
                <c:ptCount val="1"/>
                <c:pt idx="0">
                  <c:v>Node 3 (Ω)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'Final sample'!$F$4:$F$6</c:f>
              <c:numCache>
                <c:formatCode>General</c:formatCode>
                <c:ptCount val="3"/>
                <c:pt idx="0">
                  <c:v>370</c:v>
                </c:pt>
                <c:pt idx="1">
                  <c:v>420</c:v>
                </c:pt>
                <c:pt idx="2">
                  <c:v>270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988-4F50-A6D4-E294C018873D}"/>
            </c:ext>
          </c:extLst>
        </c:ser>
        <c:ser>
          <c:idx val="4"/>
          <c:order val="4"/>
          <c:tx>
            <c:strRef>
              <c:f>'Final sample'!$G$3</c:f>
              <c:strCache>
                <c:ptCount val="1"/>
                <c:pt idx="0">
                  <c:v>Node 4 (Ω)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'Final sample'!$G$4:$G$6</c:f>
              <c:numCache>
                <c:formatCode>General</c:formatCode>
                <c:ptCount val="3"/>
                <c:pt idx="0">
                  <c:v>500</c:v>
                </c:pt>
                <c:pt idx="1">
                  <c:v>450</c:v>
                </c:pt>
                <c:pt idx="2">
                  <c:v>380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988-4F50-A6D4-E294C018873D}"/>
            </c:ext>
          </c:extLst>
        </c:ser>
        <c:ser>
          <c:idx val="5"/>
          <c:order val="5"/>
          <c:tx>
            <c:strRef>
              <c:f>'Final sample'!$H$3</c:f>
              <c:strCache>
                <c:ptCount val="1"/>
                <c:pt idx="0">
                  <c:v>Node 5 (Ω)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'Final sample'!$H$4:$H$6</c:f>
              <c:numCache>
                <c:formatCode>General</c:formatCode>
                <c:ptCount val="3"/>
                <c:pt idx="0">
                  <c:v>470</c:v>
                </c:pt>
                <c:pt idx="1">
                  <c:v>350</c:v>
                </c:pt>
                <c:pt idx="2">
                  <c:v>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988-4F50-A6D4-E294C01887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2409968"/>
        <c:axId val="191240564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'Final sample'!$C$3</c15:sqref>
                        </c15:formulaRef>
                      </c:ext>
                    </c:extLst>
                    <c:strCache>
                      <c:ptCount val="1"/>
                      <c:pt idx="0">
                        <c:v>Sample 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'Final sample'!$C$4:$C$6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4988-4F50-A6D4-E294C018873D}"/>
                  </c:ext>
                </c:extLst>
              </c15:ser>
            </c15:filteredBarSeries>
          </c:ext>
        </c:extLst>
      </c:barChart>
      <c:catAx>
        <c:axId val="1912409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2405648"/>
        <c:crosses val="autoZero"/>
        <c:auto val="1"/>
        <c:lblAlgn val="ctr"/>
        <c:lblOffset val="100"/>
        <c:noMultiLvlLbl val="0"/>
      </c:catAx>
      <c:valAx>
        <c:axId val="1912405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2409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Sample node resistance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'Final sample'!$D$13</c:f>
              <c:strCache>
                <c:ptCount val="1"/>
                <c:pt idx="0">
                  <c:v>Node 1 (Ω)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'Final sample'!$D$14:$D$15</c:f>
              <c:numCache>
                <c:formatCode>General</c:formatCode>
                <c:ptCount val="2"/>
                <c:pt idx="0">
                  <c:v>255</c:v>
                </c:pt>
                <c:pt idx="1">
                  <c:v>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6C-4706-8246-D22BDFACE948}"/>
            </c:ext>
          </c:extLst>
        </c:ser>
        <c:ser>
          <c:idx val="2"/>
          <c:order val="2"/>
          <c:tx>
            <c:strRef>
              <c:f>'Final sample'!$E$13</c:f>
              <c:strCache>
                <c:ptCount val="1"/>
                <c:pt idx="0">
                  <c:v>Node 2 (Ω)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'Final sample'!$E$14:$E$15</c:f>
              <c:numCache>
                <c:formatCode>General</c:formatCode>
                <c:ptCount val="2"/>
                <c:pt idx="0">
                  <c:v>225</c:v>
                </c:pt>
                <c:pt idx="1">
                  <c:v>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6C-4706-8246-D22BDFACE948}"/>
            </c:ext>
          </c:extLst>
        </c:ser>
        <c:ser>
          <c:idx val="3"/>
          <c:order val="3"/>
          <c:tx>
            <c:strRef>
              <c:f>'Final sample'!$F$13</c:f>
              <c:strCache>
                <c:ptCount val="1"/>
                <c:pt idx="0">
                  <c:v>Node 3 (Ω)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'Final sample'!$F$14:$F$15</c:f>
              <c:numCache>
                <c:formatCode>General</c:formatCode>
                <c:ptCount val="2"/>
                <c:pt idx="0">
                  <c:v>210</c:v>
                </c:pt>
                <c:pt idx="1">
                  <c:v>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16C-4706-8246-D22BDFACE948}"/>
            </c:ext>
          </c:extLst>
        </c:ser>
        <c:ser>
          <c:idx val="4"/>
          <c:order val="4"/>
          <c:tx>
            <c:strRef>
              <c:f>'Final sample'!$G$13</c:f>
              <c:strCache>
                <c:ptCount val="1"/>
                <c:pt idx="0">
                  <c:v>Node 4 (Ω)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'Final sample'!$G$14:$G$15</c:f>
              <c:numCache>
                <c:formatCode>General</c:formatCode>
                <c:ptCount val="2"/>
                <c:pt idx="0">
                  <c:v>250</c:v>
                </c:pt>
                <c:pt idx="1">
                  <c:v>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16C-4706-8246-D22BDFACE948}"/>
            </c:ext>
          </c:extLst>
        </c:ser>
        <c:ser>
          <c:idx val="5"/>
          <c:order val="5"/>
          <c:tx>
            <c:strRef>
              <c:f>'Final sample'!$H$13</c:f>
              <c:strCache>
                <c:ptCount val="1"/>
                <c:pt idx="0">
                  <c:v>Node 5 (Ω)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'Final sample'!$H$14:$H$15</c:f>
              <c:numCache>
                <c:formatCode>General</c:formatCode>
                <c:ptCount val="2"/>
                <c:pt idx="0">
                  <c:v>240</c:v>
                </c:pt>
                <c:pt idx="1">
                  <c:v>290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16C-4706-8246-D22BDFACE9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3770976"/>
        <c:axId val="129377145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'Final sample'!$C$13</c15:sqref>
                        </c15:formulaRef>
                      </c:ext>
                    </c:extLst>
                    <c:strCache>
                      <c:ptCount val="1"/>
                      <c:pt idx="0">
                        <c:v>Sample 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'Final sample'!$C$14:$C$15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1</c:v>
                      </c:pt>
                      <c:pt idx="1">
                        <c:v>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616C-4706-8246-D22BDFACE948}"/>
                  </c:ext>
                </c:extLst>
              </c15:ser>
            </c15:filteredBarSeries>
          </c:ext>
        </c:extLst>
      </c:barChart>
      <c:catAx>
        <c:axId val="1293770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771456"/>
        <c:crosses val="autoZero"/>
        <c:auto val="1"/>
        <c:lblAlgn val="ctr"/>
        <c:lblOffset val="100"/>
        <c:noMultiLvlLbl val="0"/>
      </c:catAx>
      <c:valAx>
        <c:axId val="1293771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770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/>
              <a:t>Resistivity</a:t>
            </a:r>
            <a:r>
              <a:rPr lang="en-SG" baseline="0"/>
              <a:t> Result</a:t>
            </a:r>
            <a:endParaRPr lang="en-S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'Design B'!$A$2</c:f>
              <c:strCache>
                <c:ptCount val="1"/>
                <c:pt idx="0">
                  <c:v>45/135 degree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'Design B'!$B$1:$G$1</c15:sqref>
                  </c15:fullRef>
                </c:ext>
              </c:extLst>
              <c:f>'Design B'!$G$1</c:f>
              <c:strCache>
                <c:ptCount val="1"/>
                <c:pt idx="0">
                  <c:v>Mean (Ω)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'Design B'!$B$2:$G$2</c15:sqref>
                  </c15:fullRef>
                </c:ext>
              </c:extLst>
              <c:f>'Design B'!$G$2</c:f>
              <c:numCache>
                <c:formatCode>General</c:formatCode>
                <c:ptCount val="1"/>
                <c:pt idx="0">
                  <c:v>101.7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A5-4F62-89FD-CFC113450B5A}"/>
            </c:ext>
          </c:extLst>
        </c:ser>
        <c:ser>
          <c:idx val="1"/>
          <c:order val="1"/>
          <c:tx>
            <c:strRef>
              <c:f>'Design B'!$A$3</c:f>
              <c:strCache>
                <c:ptCount val="1"/>
                <c:pt idx="0">
                  <c:v>0/90 degree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'Design B'!$B$1:$G$1</c15:sqref>
                  </c15:fullRef>
                </c:ext>
              </c:extLst>
              <c:f>'Design B'!$G$1</c:f>
              <c:strCache>
                <c:ptCount val="1"/>
                <c:pt idx="0">
                  <c:v>Mean (Ω)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'Design B'!$B$3:$G$3</c15:sqref>
                  </c15:fullRef>
                </c:ext>
              </c:extLst>
              <c:f>'Design B'!$G$3</c:f>
              <c:numCache>
                <c:formatCode>General</c:formatCode>
                <c:ptCount val="1"/>
                <c:pt idx="0">
                  <c:v>117.4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A5-4F62-89FD-CFC113450B5A}"/>
            </c:ext>
          </c:extLst>
        </c:ser>
        <c:ser>
          <c:idx val="2"/>
          <c:order val="2"/>
          <c:tx>
            <c:strRef>
              <c:f>'Design B'!$A$4</c:f>
              <c:strCache>
                <c:ptCount val="1"/>
                <c:pt idx="0">
                  <c:v>0/0 degree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'Design B'!$B$1:$G$1</c15:sqref>
                  </c15:fullRef>
                </c:ext>
              </c:extLst>
              <c:f>'Design B'!$G$1</c:f>
              <c:strCache>
                <c:ptCount val="1"/>
                <c:pt idx="0">
                  <c:v>Mean (Ω)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'Design B'!$B$4:$G$4</c15:sqref>
                  </c15:fullRef>
                </c:ext>
              </c:extLst>
              <c:f>'Design B'!$G$4</c:f>
              <c:numCache>
                <c:formatCode>General</c:formatCode>
                <c:ptCount val="1"/>
                <c:pt idx="0">
                  <c:v>163.6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A5-4F62-89FD-CFC113450B5A}"/>
            </c:ext>
          </c:extLst>
        </c:ser>
        <c:ser>
          <c:idx val="3"/>
          <c:order val="3"/>
          <c:tx>
            <c:strRef>
              <c:f>'Design B'!$A$5</c:f>
              <c:strCache>
                <c:ptCount val="1"/>
                <c:pt idx="0">
                  <c:v>90/90 degree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'Design B'!$B$1:$G$1</c15:sqref>
                  </c15:fullRef>
                </c:ext>
              </c:extLst>
              <c:f>'Design B'!$G$1</c:f>
              <c:strCache>
                <c:ptCount val="1"/>
                <c:pt idx="0">
                  <c:v>Mean (Ω)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'Design B'!$B$5:$G$5</c15:sqref>
                  </c15:fullRef>
                </c:ext>
              </c:extLst>
              <c:f>'Design B'!$G$5</c:f>
              <c:numCache>
                <c:formatCode>General</c:formatCode>
                <c:ptCount val="1"/>
                <c:pt idx="0">
                  <c:v>124.5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9A5-4F62-89FD-CFC113450B5A}"/>
            </c:ext>
          </c:extLst>
        </c:ser>
        <c:ser>
          <c:idx val="4"/>
          <c:order val="4"/>
          <c:tx>
            <c:strRef>
              <c:f>'Design B'!$A$6</c:f>
              <c:strCache>
                <c:ptCount val="1"/>
                <c:pt idx="0">
                  <c:v>45/45 degree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'Design B'!$B$1:$G$1</c15:sqref>
                  </c15:fullRef>
                </c:ext>
              </c:extLst>
              <c:f>'Design B'!$G$1</c:f>
              <c:strCache>
                <c:ptCount val="1"/>
                <c:pt idx="0">
                  <c:v>Mean (Ω)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'Design B'!$B$6:$G$6</c15:sqref>
                  </c15:fullRef>
                </c:ext>
              </c:extLst>
              <c:f>'Design B'!$G$6</c:f>
              <c:numCache>
                <c:formatCode>General</c:formatCode>
                <c:ptCount val="1"/>
                <c:pt idx="0">
                  <c:v>122.1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9A5-4F62-89FD-CFC113450B5A}"/>
            </c:ext>
          </c:extLst>
        </c:ser>
        <c:ser>
          <c:idx val="5"/>
          <c:order val="5"/>
          <c:tx>
            <c:strRef>
              <c:f>'Design B'!$A$7</c:f>
              <c:strCache>
                <c:ptCount val="1"/>
                <c:pt idx="0">
                  <c:v>135/135 degree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'Design B'!$B$1:$G$1</c15:sqref>
                  </c15:fullRef>
                </c:ext>
              </c:extLst>
              <c:f>'Design B'!$G$1</c:f>
              <c:strCache>
                <c:ptCount val="1"/>
                <c:pt idx="0">
                  <c:v>Mean (Ω)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'Design B'!$B$7:$G$7</c15:sqref>
                  </c15:fullRef>
                </c:ext>
              </c:extLst>
              <c:f>'Design B'!$G$7</c:f>
              <c:numCache>
                <c:formatCode>General</c:formatCode>
                <c:ptCount val="1"/>
                <c:pt idx="0">
                  <c:v>119.7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9A5-4F62-89FD-CFC113450B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2844160"/>
        <c:axId val="232845120"/>
      </c:barChart>
      <c:catAx>
        <c:axId val="23284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845120"/>
        <c:crosses val="autoZero"/>
        <c:auto val="1"/>
        <c:lblAlgn val="ctr"/>
        <c:lblOffset val="100"/>
        <c:noMultiLvlLbl val="0"/>
      </c:catAx>
      <c:valAx>
        <c:axId val="23284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844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Resistivity Result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errBars>
            <c:errBarType val="both"/>
            <c:errValType val="cust"/>
            <c:noEndCap val="0"/>
            <c:plus>
              <c:numRef>
                <c:f>'Design B'!$H$3:$H$7</c:f>
                <c:numCache>
                  <c:formatCode>General</c:formatCode>
                  <c:ptCount val="5"/>
                  <c:pt idx="0">
                    <c:v>6.8865811546804556</c:v>
                  </c:pt>
                  <c:pt idx="1">
                    <c:v>5.727128425310541</c:v>
                  </c:pt>
                  <c:pt idx="2">
                    <c:v>2.4494897427831779</c:v>
                  </c:pt>
                  <c:pt idx="3">
                    <c:v>10.644247272588137</c:v>
                  </c:pt>
                  <c:pt idx="4">
                    <c:v>7.7103826104804947</c:v>
                  </c:pt>
                </c:numCache>
              </c:numRef>
            </c:plus>
            <c:minus>
              <c:numRef>
                <c:f>'Design B'!$H$3:$H$7</c:f>
                <c:numCache>
                  <c:formatCode>General</c:formatCode>
                  <c:ptCount val="5"/>
                  <c:pt idx="0">
                    <c:v>6.8865811546804556</c:v>
                  </c:pt>
                  <c:pt idx="1">
                    <c:v>5.727128425310541</c:v>
                  </c:pt>
                  <c:pt idx="2">
                    <c:v>2.4494897427831779</c:v>
                  </c:pt>
                  <c:pt idx="3">
                    <c:v>10.644247272588137</c:v>
                  </c:pt>
                  <c:pt idx="4">
                    <c:v>7.7103826104804947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'Design B'!$A$3:$A$7</c:f>
              <c:strCache>
                <c:ptCount val="5"/>
                <c:pt idx="0">
                  <c:v>0/90 degree</c:v>
                </c:pt>
                <c:pt idx="1">
                  <c:v>0/0 degree</c:v>
                </c:pt>
                <c:pt idx="2">
                  <c:v>90/90 degree</c:v>
                </c:pt>
                <c:pt idx="3">
                  <c:v>45/45 degree</c:v>
                </c:pt>
                <c:pt idx="4">
                  <c:v>135/135 degree</c:v>
                </c:pt>
              </c:strCache>
            </c:strRef>
          </c:cat>
          <c:val>
            <c:numRef>
              <c:f>'Design B'!$G$3:$G$7</c:f>
              <c:numCache>
                <c:formatCode>General</c:formatCode>
                <c:ptCount val="5"/>
                <c:pt idx="0">
                  <c:v>117.4</c:v>
                </c:pt>
                <c:pt idx="1">
                  <c:v>163.6</c:v>
                </c:pt>
                <c:pt idx="2">
                  <c:v>124.5</c:v>
                </c:pt>
                <c:pt idx="3">
                  <c:v>122.1</c:v>
                </c:pt>
                <c:pt idx="4">
                  <c:v>119.7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DE-4FAF-B2D6-1738E468F2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2551760"/>
        <c:axId val="732553200"/>
      </c:barChart>
      <c:catAx>
        <c:axId val="732551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553200"/>
        <c:crosses val="autoZero"/>
        <c:auto val="1"/>
        <c:lblAlgn val="ctr"/>
        <c:lblOffset val="100"/>
        <c:noMultiLvlLbl val="0"/>
      </c:catAx>
      <c:valAx>
        <c:axId val="732553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551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167640</xdr:colOff>
      <xdr:row>3</xdr:row>
      <xdr:rowOff>140970</xdr:rowOff>
    </xdr:from>
    <xdr:to>
      <xdr:col>17</xdr:col>
      <xdr:colOff>472440</xdr:colOff>
      <xdr:row>18</xdr:row>
      <xdr:rowOff>140970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2185F0-8BB8-255A-635C-682AACCC4F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68580</xdr:colOff>
      <xdr:row>17</xdr:row>
      <xdr:rowOff>133350</xdr:rowOff>
    </xdr:from>
    <xdr:to>
      <xdr:col>9</xdr:col>
      <xdr:colOff>175260</xdr:colOff>
      <xdr:row>32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3EFD74-26C0-5C2F-4FE2-536EEBCD87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7</xdr:row>
      <xdr:rowOff>171450</xdr:rowOff>
    </xdr:from>
    <xdr:to>
      <xdr:col>14</xdr:col>
      <xdr:colOff>495300</xdr:colOff>
      <xdr:row>22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39D95A9-8520-DC3D-1C76-AD952CB882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746760</xdr:colOff>
      <xdr:row>10</xdr:row>
      <xdr:rowOff>95250</xdr:rowOff>
    </xdr:from>
    <xdr:to>
      <xdr:col>6</xdr:col>
      <xdr:colOff>670560</xdr:colOff>
      <xdr:row>25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A42DB5-CFC2-57FA-9471-6B568C5D07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F59FF9-C821-48F7-88B1-A0EDB1DE24D4}" name="Table1" displayName="Table1" ref="A1:H7" totalsRowShown="0" headerRowDxfId="10" headerRowBorderDxfId="9" tableBorderDxfId="8" totalsRowBorderDxfId="7">
  <autoFilter ref="A1:H7" xr:uid="{64F59FF9-C821-48F7-88B1-A0EDB1DE24D4}"/>
  <tableColumns count="8">
    <tableColumn id="1" xr3:uid="{17DB7532-0A81-4BB4-9589-74F44FE0FC20}" name="Design " dataDxfId="6"/>
    <tableColumn id="2" xr3:uid="{46477098-4DC2-4924-9A57-054420CF0553}" name="Trial 1 (Ω)" dataDxfId="5"/>
    <tableColumn id="3" xr3:uid="{8A0168AB-5FFC-4626-B598-52F9E9693D58}" name="Trial 2 (Ω)" dataDxfId="4"/>
    <tableColumn id="4" xr3:uid="{2E5590FD-3213-42E5-819B-53223A3B1F5E}" name="Trial 3 (Ω)"/>
    <tableColumn id="5" xr3:uid="{4ABEA113-B982-4716-B488-E3CA523F8819}" name="Trial 4 (Ω)" dataDxfId="3"/>
    <tableColumn id="6" xr3:uid="{49BF5181-DAA1-4EC5-B5A2-68DAE607990B}" name="Trial 5 (Ω)" dataDxfId="2"/>
    <tableColumn id="7" xr3:uid="{EF43C1B6-D0E3-47FB-AADF-743E2A0FA860}" name="Mean (Ω)" dataDxfId="1">
      <calculatedColumnFormula>AVERAGE(B2:F2)</calculatedColumnFormula>
    </tableColumn>
    <tableColumn id="10" xr3:uid="{6CD488FB-E9A5-48F9-A8B5-DF1B60763FDE}" name="SD" dataDxfId="0">
      <calculatedColumnFormula>_xlfn.STDEV.S(B2:F2)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workbookViewId="0">
      <pane ySplit="1" topLeftCell="A2" activePane="bottomLeft" state="frozen"/>
      <selection pane="bottomLeft" activeCell="K12" sqref="K12:L13"/>
    </sheetView>
  </sheetViews>
  <sheetFormatPr defaultRowHeight="14.4" x14ac:dyDescent="0.3"/>
  <cols>
    <col min="1" max="1" width="16.77734375" bestFit="1" customWidth="1"/>
    <col min="2" max="3" width="9.109375" style="5" bestFit="1" customWidth="1"/>
    <col min="4" max="5" width="9.109375" bestFit="1" customWidth="1"/>
    <col min="6" max="7" width="9.109375" customWidth="1"/>
    <col min="8" max="8" width="9.109375" bestFit="1" customWidth="1"/>
    <col min="9" max="9" width="9" bestFit="1" customWidth="1"/>
    <col min="10" max="10" width="28.6640625" bestFit="1" customWidth="1"/>
  </cols>
  <sheetData>
    <row r="1" spans="1:10" x14ac:dyDescent="0.3">
      <c r="A1" s="1" t="s">
        <v>0</v>
      </c>
      <c r="B1" s="6" t="s">
        <v>1</v>
      </c>
      <c r="C1" s="6" t="s">
        <v>2</v>
      </c>
      <c r="D1" s="1" t="s">
        <v>3</v>
      </c>
      <c r="E1" s="1" t="s">
        <v>4</v>
      </c>
      <c r="F1" s="1" t="s">
        <v>5</v>
      </c>
      <c r="G1" s="1" t="s">
        <v>11</v>
      </c>
      <c r="H1" s="1" t="s">
        <v>12</v>
      </c>
      <c r="I1" s="1" t="s">
        <v>6</v>
      </c>
      <c r="J1" s="1" t="s">
        <v>7</v>
      </c>
    </row>
    <row r="2" spans="1:10" x14ac:dyDescent="0.3">
      <c r="A2" s="2" t="s">
        <v>9</v>
      </c>
      <c r="B2" s="7">
        <v>249</v>
      </c>
      <c r="C2" s="7">
        <v>210</v>
      </c>
      <c r="D2" s="4">
        <v>344</v>
      </c>
      <c r="E2" s="3">
        <v>405</v>
      </c>
      <c r="F2" s="3">
        <v>400</v>
      </c>
      <c r="G2" s="3">
        <v>399</v>
      </c>
      <c r="H2" s="4">
        <v>426</v>
      </c>
      <c r="I2" s="3">
        <f>AVERAGE(D2:H2)</f>
        <v>394.8</v>
      </c>
      <c r="J2" s="2" t="s">
        <v>13</v>
      </c>
    </row>
    <row r="3" spans="1:10" x14ac:dyDescent="0.3">
      <c r="A3" s="2" t="s">
        <v>8</v>
      </c>
      <c r="B3" s="7">
        <v>89.7</v>
      </c>
      <c r="C3" s="7">
        <v>91.8</v>
      </c>
      <c r="D3" s="4">
        <v>30</v>
      </c>
      <c r="E3" s="3">
        <v>117.5</v>
      </c>
      <c r="F3" s="3">
        <v>119</v>
      </c>
      <c r="G3" s="3">
        <v>115.5</v>
      </c>
      <c r="H3" s="4">
        <v>129</v>
      </c>
      <c r="I3" s="3">
        <f t="shared" ref="I3:I4" si="0">AVERAGE(D3:H3)</f>
        <v>102.2</v>
      </c>
      <c r="J3" s="2" t="s">
        <v>13</v>
      </c>
    </row>
    <row r="4" spans="1:10" x14ac:dyDescent="0.3">
      <c r="A4" s="2" t="s">
        <v>10</v>
      </c>
      <c r="B4" s="7">
        <v>430</v>
      </c>
      <c r="C4" s="7">
        <v>400</v>
      </c>
      <c r="D4" s="8">
        <v>415</v>
      </c>
      <c r="E4" s="9"/>
      <c r="F4" s="9"/>
      <c r="G4" s="9"/>
      <c r="H4" s="9"/>
      <c r="I4" s="3">
        <f t="shared" si="0"/>
        <v>415</v>
      </c>
      <c r="J4" s="2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91AE9-1DE8-440A-8B20-02B14730E9B4}">
  <dimension ref="A1:H15"/>
  <sheetViews>
    <sheetView tabSelected="1" topLeftCell="A13" workbookViewId="0">
      <selection activeCell="O29" sqref="O29"/>
    </sheetView>
  </sheetViews>
  <sheetFormatPr defaultRowHeight="14.4" x14ac:dyDescent="0.3"/>
  <cols>
    <col min="3" max="3" width="7.33203125" bestFit="1" customWidth="1"/>
    <col min="4" max="8" width="9.77734375" bestFit="1" customWidth="1"/>
  </cols>
  <sheetData>
    <row r="1" spans="1:8" x14ac:dyDescent="0.3">
      <c r="A1" s="21"/>
    </row>
    <row r="2" spans="1:8" x14ac:dyDescent="0.3">
      <c r="C2" t="s">
        <v>54</v>
      </c>
    </row>
    <row r="3" spans="1:8" x14ac:dyDescent="0.3">
      <c r="C3" s="25" t="s">
        <v>35</v>
      </c>
      <c r="D3" s="26" t="s">
        <v>36</v>
      </c>
      <c r="E3" s="27" t="s">
        <v>37</v>
      </c>
      <c r="F3" s="28" t="s">
        <v>38</v>
      </c>
      <c r="G3" s="29" t="s">
        <v>39</v>
      </c>
      <c r="H3" s="30" t="s">
        <v>40</v>
      </c>
    </row>
    <row r="4" spans="1:8" x14ac:dyDescent="0.3">
      <c r="C4" s="25">
        <v>1</v>
      </c>
      <c r="D4" s="21">
        <v>480</v>
      </c>
      <c r="E4" s="21">
        <v>390</v>
      </c>
      <c r="F4" s="21">
        <v>370</v>
      </c>
      <c r="G4" s="21">
        <v>500</v>
      </c>
      <c r="H4" s="21">
        <v>470</v>
      </c>
    </row>
    <row r="5" spans="1:8" x14ac:dyDescent="0.3">
      <c r="C5" s="25">
        <v>2</v>
      </c>
      <c r="D5" s="21">
        <v>490</v>
      </c>
      <c r="E5" s="21">
        <v>320</v>
      </c>
      <c r="F5" s="21">
        <v>420</v>
      </c>
      <c r="G5" s="21">
        <v>450</v>
      </c>
      <c r="H5" s="21">
        <v>350</v>
      </c>
    </row>
    <row r="6" spans="1:8" x14ac:dyDescent="0.3">
      <c r="C6" s="25">
        <v>3</v>
      </c>
      <c r="D6" s="21">
        <v>290</v>
      </c>
      <c r="E6" s="21">
        <v>330</v>
      </c>
      <c r="F6" s="21">
        <v>270</v>
      </c>
      <c r="G6" s="21">
        <v>380</v>
      </c>
      <c r="H6" s="21">
        <v>360</v>
      </c>
    </row>
    <row r="12" spans="1:8" x14ac:dyDescent="0.3">
      <c r="C12" t="s">
        <v>53</v>
      </c>
    </row>
    <row r="13" spans="1:8" x14ac:dyDescent="0.3">
      <c r="C13" s="25" t="s">
        <v>35</v>
      </c>
      <c r="D13" s="26" t="s">
        <v>36</v>
      </c>
      <c r="E13" s="27" t="s">
        <v>37</v>
      </c>
      <c r="F13" s="28" t="s">
        <v>38</v>
      </c>
      <c r="G13" s="29" t="s">
        <v>39</v>
      </c>
      <c r="H13" s="30" t="s">
        <v>40</v>
      </c>
    </row>
    <row r="14" spans="1:8" x14ac:dyDescent="0.3">
      <c r="C14" s="25">
        <v>1</v>
      </c>
      <c r="D14" s="21">
        <v>255</v>
      </c>
      <c r="E14" s="21">
        <v>225</v>
      </c>
      <c r="F14" s="21">
        <v>210</v>
      </c>
      <c r="G14" s="21">
        <v>250</v>
      </c>
      <c r="H14" s="21">
        <v>240</v>
      </c>
    </row>
    <row r="15" spans="1:8" x14ac:dyDescent="0.3">
      <c r="C15" s="25">
        <v>2</v>
      </c>
      <c r="D15" s="21">
        <v>325</v>
      </c>
      <c r="E15" s="21">
        <v>265</v>
      </c>
      <c r="F15" s="21">
        <v>235</v>
      </c>
      <c r="G15" s="21">
        <v>248</v>
      </c>
      <c r="H15" s="21">
        <v>290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53F61-0CDE-433B-A882-1036FCF03814}">
  <dimension ref="A1:H7"/>
  <sheetViews>
    <sheetView topLeftCell="A4" workbookViewId="0">
      <selection activeCell="I27" sqref="I27"/>
    </sheetView>
  </sheetViews>
  <sheetFormatPr defaultRowHeight="14.4" x14ac:dyDescent="0.3"/>
  <cols>
    <col min="1" max="1" width="13.88671875" bestFit="1" customWidth="1"/>
    <col min="2" max="6" width="13.5546875" bestFit="1" customWidth="1"/>
    <col min="7" max="7" width="13.44140625" bestFit="1" customWidth="1"/>
    <col min="8" max="8" width="13.44140625" customWidth="1"/>
  </cols>
  <sheetData>
    <row r="1" spans="1:8" x14ac:dyDescent="0.3">
      <c r="A1" s="13" t="s">
        <v>16</v>
      </c>
      <c r="B1" s="14" t="s">
        <v>1</v>
      </c>
      <c r="C1" s="14" t="s">
        <v>2</v>
      </c>
      <c r="D1" s="14" t="s">
        <v>3</v>
      </c>
      <c r="E1" s="15" t="s">
        <v>4</v>
      </c>
      <c r="F1" s="15" t="s">
        <v>5</v>
      </c>
      <c r="G1" s="15" t="s">
        <v>6</v>
      </c>
      <c r="H1" s="16" t="s">
        <v>22</v>
      </c>
    </row>
    <row r="2" spans="1:8" x14ac:dyDescent="0.3">
      <c r="A2" s="12" t="s">
        <v>15</v>
      </c>
      <c r="B2" s="10">
        <v>103</v>
      </c>
      <c r="C2" s="11">
        <v>92</v>
      </c>
      <c r="D2" s="11">
        <v>106.5</v>
      </c>
      <c r="E2" s="11">
        <v>102</v>
      </c>
      <c r="F2" s="11">
        <v>105</v>
      </c>
      <c r="G2" s="11">
        <f>AVERAGE(B2:F2)</f>
        <v>101.7</v>
      </c>
      <c r="H2">
        <f t="shared" ref="H2:H7" si="0">_xlfn.STDEV.S(B2:F2)</f>
        <v>5.6964901474504455</v>
      </c>
    </row>
    <row r="3" spans="1:8" x14ac:dyDescent="0.3">
      <c r="A3" s="12" t="s">
        <v>17</v>
      </c>
      <c r="B3" s="10">
        <v>111</v>
      </c>
      <c r="C3" s="10">
        <v>115</v>
      </c>
      <c r="D3" s="11">
        <v>111.5</v>
      </c>
      <c r="E3" s="11">
        <v>124.5</v>
      </c>
      <c r="F3" s="11">
        <v>125</v>
      </c>
      <c r="G3" s="11">
        <f>AVERAGE(B3:F3)</f>
        <v>117.4</v>
      </c>
      <c r="H3" s="19">
        <f t="shared" si="0"/>
        <v>6.8865811546804556</v>
      </c>
    </row>
    <row r="4" spans="1:8" x14ac:dyDescent="0.3">
      <c r="A4" s="17" t="s">
        <v>21</v>
      </c>
      <c r="B4" s="18">
        <v>160</v>
      </c>
      <c r="C4" s="18">
        <v>170</v>
      </c>
      <c r="D4" s="18">
        <v>164</v>
      </c>
      <c r="E4" s="18">
        <v>156</v>
      </c>
      <c r="F4" s="18">
        <v>168</v>
      </c>
      <c r="G4" s="18">
        <f>AVERAGE(B4:F4)</f>
        <v>163.6</v>
      </c>
      <c r="H4" s="20">
        <f t="shared" si="0"/>
        <v>5.727128425310541</v>
      </c>
    </row>
    <row r="5" spans="1:8" x14ac:dyDescent="0.3">
      <c r="A5" s="12" t="s">
        <v>19</v>
      </c>
      <c r="B5" s="11">
        <v>121</v>
      </c>
      <c r="C5" s="11">
        <v>127</v>
      </c>
      <c r="D5" s="11">
        <v>123</v>
      </c>
      <c r="E5" s="11">
        <v>126</v>
      </c>
      <c r="F5" s="11">
        <v>125.5</v>
      </c>
      <c r="G5" s="11">
        <f>AVERAGE(B5:F5)</f>
        <v>124.5</v>
      </c>
      <c r="H5" s="19">
        <f t="shared" si="0"/>
        <v>2.4494897427831779</v>
      </c>
    </row>
    <row r="6" spans="1:8" x14ac:dyDescent="0.3">
      <c r="A6" s="12" t="s">
        <v>20</v>
      </c>
      <c r="B6" s="11">
        <v>132</v>
      </c>
      <c r="C6" s="11">
        <v>111.5</v>
      </c>
      <c r="D6" s="10">
        <v>123</v>
      </c>
      <c r="E6" s="11">
        <v>133</v>
      </c>
      <c r="F6" s="11">
        <v>111</v>
      </c>
      <c r="G6" s="11">
        <f t="shared" ref="G6" si="1">AVERAGE(B6:F6)</f>
        <v>122.1</v>
      </c>
      <c r="H6" s="19">
        <f t="shared" si="0"/>
        <v>10.644247272588137</v>
      </c>
    </row>
    <row r="7" spans="1:8" x14ac:dyDescent="0.3">
      <c r="A7" s="12" t="s">
        <v>18</v>
      </c>
      <c r="B7" s="10">
        <v>126.5</v>
      </c>
      <c r="C7" s="11">
        <v>107</v>
      </c>
      <c r="D7" s="11">
        <v>119</v>
      </c>
      <c r="E7" s="11">
        <v>125</v>
      </c>
      <c r="F7" s="11">
        <v>121</v>
      </c>
      <c r="G7" s="11">
        <f>AVERAGE(B7:F7)</f>
        <v>119.7</v>
      </c>
      <c r="H7" s="19">
        <f t="shared" si="0"/>
        <v>7.7103826104804947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9D555-F3C7-4F8C-AABE-BB58F931AAFF}">
  <dimension ref="B2:J8"/>
  <sheetViews>
    <sheetView workbookViewId="0">
      <selection activeCell="L10" sqref="L10"/>
    </sheetView>
  </sheetViews>
  <sheetFormatPr defaultRowHeight="14.4" x14ac:dyDescent="0.3"/>
  <cols>
    <col min="2" max="2" width="22" bestFit="1" customWidth="1"/>
    <col min="3" max="3" width="8.109375" bestFit="1" customWidth="1"/>
    <col min="7" max="7" width="21.33203125" bestFit="1" customWidth="1"/>
    <col min="8" max="8" width="9.109375" bestFit="1" customWidth="1"/>
    <col min="9" max="9" width="19.109375" bestFit="1" customWidth="1"/>
    <col min="10" max="10" width="8.109375" bestFit="1" customWidth="1"/>
  </cols>
  <sheetData>
    <row r="2" spans="2:10" x14ac:dyDescent="0.3">
      <c r="B2" s="22" t="s">
        <v>23</v>
      </c>
      <c r="C2" s="22" t="s">
        <v>34</v>
      </c>
      <c r="G2" s="32" t="s">
        <v>45</v>
      </c>
      <c r="H2" s="32" t="s">
        <v>34</v>
      </c>
      <c r="I2" s="33" t="s">
        <v>52</v>
      </c>
      <c r="J2" s="33" t="s">
        <v>34</v>
      </c>
    </row>
    <row r="3" spans="2:10" x14ac:dyDescent="0.3">
      <c r="B3" s="21" t="s">
        <v>24</v>
      </c>
      <c r="C3" s="23" t="s">
        <v>30</v>
      </c>
      <c r="G3" s="21" t="s">
        <v>41</v>
      </c>
      <c r="H3" s="23" t="s">
        <v>32</v>
      </c>
      <c r="I3" s="21" t="s">
        <v>41</v>
      </c>
      <c r="J3" s="23" t="s">
        <v>46</v>
      </c>
    </row>
    <row r="4" spans="2:10" x14ac:dyDescent="0.3">
      <c r="B4" s="21" t="s">
        <v>25</v>
      </c>
      <c r="C4" s="23" t="s">
        <v>31</v>
      </c>
      <c r="G4" s="21" t="s">
        <v>42</v>
      </c>
      <c r="H4" s="23" t="s">
        <v>47</v>
      </c>
      <c r="I4" s="21" t="s">
        <v>42</v>
      </c>
      <c r="J4" s="23" t="s">
        <v>46</v>
      </c>
    </row>
    <row r="5" spans="2:10" x14ac:dyDescent="0.3">
      <c r="B5" s="21" t="s">
        <v>28</v>
      </c>
      <c r="C5" s="23" t="s">
        <v>32</v>
      </c>
      <c r="G5" s="21" t="s">
        <v>44</v>
      </c>
      <c r="H5" s="23" t="s">
        <v>48</v>
      </c>
      <c r="I5" s="21" t="s">
        <v>44</v>
      </c>
      <c r="J5" s="23" t="s">
        <v>46</v>
      </c>
    </row>
    <row r="6" spans="2:10" x14ac:dyDescent="0.3">
      <c r="B6" s="21" t="s">
        <v>26</v>
      </c>
      <c r="C6" s="23" t="s">
        <v>33</v>
      </c>
      <c r="G6" s="21" t="s">
        <v>43</v>
      </c>
      <c r="H6" s="23" t="s">
        <v>49</v>
      </c>
      <c r="I6" s="21" t="s">
        <v>43</v>
      </c>
      <c r="J6" s="23" t="s">
        <v>46</v>
      </c>
    </row>
    <row r="7" spans="2:10" x14ac:dyDescent="0.3">
      <c r="B7" s="21" t="s">
        <v>27</v>
      </c>
      <c r="C7" s="24">
        <v>1</v>
      </c>
      <c r="G7" s="21" t="s">
        <v>51</v>
      </c>
      <c r="H7" s="23" t="s">
        <v>50</v>
      </c>
      <c r="I7" s="21" t="s">
        <v>51</v>
      </c>
      <c r="J7" s="23" t="s">
        <v>46</v>
      </c>
    </row>
    <row r="8" spans="2:10" x14ac:dyDescent="0.3">
      <c r="B8" s="21" t="s">
        <v>29</v>
      </c>
      <c r="C8" s="24">
        <v>1</v>
      </c>
      <c r="H8" s="31"/>
      <c r="J8" s="31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Resistance Log</vt:lpstr>
      <vt:lpstr>Final sample</vt:lpstr>
      <vt:lpstr>Design B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#NG ZHI RONG#</cp:lastModifiedBy>
  <dcterms:created xsi:type="dcterms:W3CDTF">2025-10-06T05:44:23Z</dcterms:created>
  <dcterms:modified xsi:type="dcterms:W3CDTF">2026-04-10T12:58:49Z</dcterms:modified>
</cp:coreProperties>
</file>